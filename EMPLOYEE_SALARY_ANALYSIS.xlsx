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f9f3280f71f42ce0/Dokumen/Desktop/New folder/"/>
    </mc:Choice>
  </mc:AlternateContent>
  <xr:revisionPtr revIDLastSave="0" documentId="8_{028B4F9D-5CE6-4548-8306-B7020E727F96}" xr6:coauthVersionLast="47" xr6:coauthVersionMax="47" xr10:uidLastSave="{00000000-0000-0000-0000-000000000000}"/>
  <bookViews>
    <workbookView xWindow="-108" yWindow="-108" windowWidth="23256" windowHeight="12456" xr2:uid="{D124A0E7-F699-4039-B1CE-F666AEF1D719}"/>
  </bookViews>
  <sheets>
    <sheet name="Sheet1" sheetId="1" r:id="rId1"/>
  </sheets>
  <definedNames>
    <definedName name="_xlnm._FilterDatabase" localSheetId="0" hidden="1">Sheet1!$A$1:$F$9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4" i="1" l="1"/>
  <c r="H3" i="1"/>
  <c r="H6" i="1"/>
  <c r="H5" i="1"/>
  <c r="E7" i="1"/>
  <c r="E8" i="1"/>
  <c r="E9" i="1"/>
  <c r="F5" i="1"/>
  <c r="F3" i="1"/>
  <c r="F4" i="1"/>
  <c r="F2" i="1"/>
  <c r="F6" i="1"/>
  <c r="E11" i="1"/>
  <c r="E12" i="1"/>
</calcChain>
</file>

<file path=xl/sharedStrings.xml><?xml version="1.0" encoding="utf-8"?>
<sst xmlns="http://schemas.openxmlformats.org/spreadsheetml/2006/main" count="27" uniqueCount="25">
  <si>
    <t>S.NO</t>
  </si>
  <si>
    <t>DATE</t>
  </si>
  <si>
    <t>NAME</t>
  </si>
  <si>
    <t>DEPARTMENT</t>
  </si>
  <si>
    <t>SALARY</t>
  </si>
  <si>
    <t>Saras</t>
  </si>
  <si>
    <t>Mani</t>
  </si>
  <si>
    <t>Raja</t>
  </si>
  <si>
    <t>Sasi</t>
  </si>
  <si>
    <t>Priya</t>
  </si>
  <si>
    <t>IT</t>
  </si>
  <si>
    <t>HR</t>
  </si>
  <si>
    <t>FINANCE</t>
  </si>
  <si>
    <t>TOTAL SALARY</t>
  </si>
  <si>
    <t>AVERAGE SALARY</t>
  </si>
  <si>
    <t>NUMBER OF EMPLOYEES</t>
  </si>
  <si>
    <t>HIGHEST SALARY</t>
  </si>
  <si>
    <t>LOWEST SALARY</t>
  </si>
  <si>
    <t>CATEGORY</t>
  </si>
  <si>
    <t>ANALYSIS</t>
  </si>
  <si>
    <t>HIGH SALARY EMPLOYEES</t>
  </si>
  <si>
    <t>IT TOTAL SALARY</t>
  </si>
  <si>
    <t>IT EMPLOYEES&gt;=30000</t>
  </si>
  <si>
    <t>IT SALARY&gt;=30000 TOTAL</t>
  </si>
  <si>
    <t>RESULT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</si>
</sst>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4" fontId="0" fillId="0" borderId="0" xfId="0" applyNumberFormat="1"/>
    <xf numFmtId="0" fontId="1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16218D-7164-4BB7-AF76-327B0BB54A14}">
  <dimension ref="A1:H12"/>
  <sheetViews>
    <sheetView tabSelected="1" workbookViewId="0">
      <selection activeCell="H5" sqref="H5"/>
    </sheetView>
  </sheetViews>
  <sheetFormatPr defaultRowHeight="14.4" x14ac:dyDescent="0.3"/>
  <cols>
    <col min="1" max="1" width="6.44140625" customWidth="1"/>
    <col min="2" max="2" width="12.6640625" customWidth="1"/>
    <col min="3" max="3" width="16.109375" customWidth="1"/>
    <col min="4" max="4" width="22.77734375" customWidth="1"/>
    <col min="6" max="6" width="9.88671875" customWidth="1"/>
    <col min="7" max="7" width="23.33203125" customWidth="1"/>
  </cols>
  <sheetData>
    <row r="1" spans="1:8" s="2" customFormat="1" x14ac:dyDescent="0.3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18</v>
      </c>
      <c r="G1" s="2" t="s">
        <v>19</v>
      </c>
      <c r="H1" s="2" t="s">
        <v>24</v>
      </c>
    </row>
    <row r="2" spans="1:8" x14ac:dyDescent="0.3">
      <c r="A2">
        <v>5</v>
      </c>
      <c r="B2" s="1">
        <v>46273</v>
      </c>
      <c r="C2" t="s">
        <v>9</v>
      </c>
      <c r="D2" t="s">
        <v>10</v>
      </c>
      <c r="E2">
        <v>35000</v>
      </c>
      <c r="F2" t="str">
        <f>IF(E2&gt;=30000,"High","Low")</f>
        <v>High</v>
      </c>
    </row>
    <row r="3" spans="1:8" x14ac:dyDescent="0.3">
      <c r="A3">
        <v>3</v>
      </c>
      <c r="B3" s="1">
        <v>46271</v>
      </c>
      <c r="C3" t="s">
        <v>7</v>
      </c>
      <c r="D3" t="s">
        <v>10</v>
      </c>
      <c r="E3">
        <v>32000</v>
      </c>
      <c r="F3" t="str">
        <f>IF(E3&gt;=30000,"High","Low")</f>
        <v>High</v>
      </c>
      <c r="G3" s="2" t="s">
        <v>22</v>
      </c>
      <c r="H3" s="2">
        <f>COUNTIFS(D1:D6,"IT",E1:E6,"&gt;=30000")</f>
        <v>2</v>
      </c>
    </row>
    <row r="4" spans="1:8" x14ac:dyDescent="0.3">
      <c r="A4">
        <v>4</v>
      </c>
      <c r="B4" s="1">
        <v>46272</v>
      </c>
      <c r="C4" t="s">
        <v>8</v>
      </c>
      <c r="D4" t="s">
        <v>12</v>
      </c>
      <c r="E4">
        <v>30000</v>
      </c>
      <c r="F4" t="str">
        <f>IF(E4&gt;=30000,"High","Low")</f>
        <v>High</v>
      </c>
      <c r="G4" s="2" t="s">
        <v>23</v>
      </c>
      <c r="H4" s="2">
        <f>SUMIFS(E1:E6,D1:D6,"IT",E1:E6,"&gt;=30000")</f>
        <v>67000</v>
      </c>
    </row>
    <row r="5" spans="1:8" x14ac:dyDescent="0.3">
      <c r="A5">
        <v>2</v>
      </c>
      <c r="B5" s="1">
        <v>46270</v>
      </c>
      <c r="C5" t="s">
        <v>6</v>
      </c>
      <c r="D5" t="s">
        <v>11</v>
      </c>
      <c r="E5">
        <v>28000</v>
      </c>
      <c r="F5" t="str">
        <f>IF(E5&gt;=30000,"High","Low")</f>
        <v>Low</v>
      </c>
      <c r="G5" s="2" t="s">
        <v>21</v>
      </c>
      <c r="H5" s="2">
        <f>SUMIF(D2:D6,"IT",E2:E6)</f>
        <v>92000</v>
      </c>
    </row>
    <row r="6" spans="1:8" x14ac:dyDescent="0.3">
      <c r="A6">
        <v>1</v>
      </c>
      <c r="B6" s="1">
        <v>46269</v>
      </c>
      <c r="C6" t="s">
        <v>5</v>
      </c>
      <c r="D6" t="s">
        <v>10</v>
      </c>
      <c r="E6">
        <v>25000</v>
      </c>
      <c r="F6" t="str">
        <f>IF(E6&gt;=30000,"High","Low")</f>
        <v>Low</v>
      </c>
      <c r="G6" s="2" t="s">
        <v>20</v>
      </c>
      <c r="H6" s="2">
        <f>COUNTIF(F2:F6,"High")</f>
        <v>3</v>
      </c>
    </row>
    <row r="7" spans="1:8" x14ac:dyDescent="0.3">
      <c r="D7" s="2" t="s">
        <v>14</v>
      </c>
      <c r="E7" s="2">
        <f>AVERAGE(E2:E6)</f>
        <v>30000</v>
      </c>
    </row>
    <row r="8" spans="1:8" x14ac:dyDescent="0.3">
      <c r="D8" s="2" t="s">
        <v>15</v>
      </c>
      <c r="E8" s="2">
        <f>COUNT(E2:E6)</f>
        <v>5</v>
      </c>
    </row>
    <row r="9" spans="1:8" x14ac:dyDescent="0.3">
      <c r="D9" s="2" t="s">
        <v>13</v>
      </c>
      <c r="E9" s="2">
        <f>SUM(E2:E6)</f>
        <v>150000</v>
      </c>
    </row>
    <row r="10" spans="1:8" x14ac:dyDescent="0.3">
      <c r="D10" s="2"/>
      <c r="E10" s="2"/>
    </row>
    <row r="11" spans="1:8" x14ac:dyDescent="0.3">
      <c r="D11" s="2" t="s">
        <v>16</v>
      </c>
      <c r="E11" s="2">
        <f>MAX(E2:E6)</f>
        <v>35000</v>
      </c>
    </row>
    <row r="12" spans="1:8" x14ac:dyDescent="0.3">
      <c r="D12" s="2" t="s">
        <v>17</v>
      </c>
      <c r="E12" s="2">
        <f>MIN(E2:E6)</f>
        <v>25000</v>
      </c>
    </row>
  </sheetData>
  <sortState xmlns:xlrd2="http://schemas.microsoft.com/office/spreadsheetml/2017/richdata2" ref="A2:H9">
    <sortCondition descending="1" ref="E2:E9"/>
  </sortState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SARASWATHI S</dc:creator>
  <cp:lastModifiedBy>SARASWATHI S</cp:lastModifiedBy>
  <dcterms:created xsi:type="dcterms:W3CDTF">2026-09-04T15:09:03Z</dcterms:created>
  <dcterms:modified xsi:type="dcterms:W3CDTF">2026-09-04T16:03:54Z</dcterms:modified>
</cp:coreProperties>
</file>