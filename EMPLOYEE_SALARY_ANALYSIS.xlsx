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f3280f71f42ce0/Dokumen/Desktop/EXCEL_LEARNING/"/>
    </mc:Choice>
  </mc:AlternateContent>
  <xr:revisionPtr revIDLastSave="120" documentId="8_{028B4F9D-5CE6-4548-8306-B7020E727F96}" xr6:coauthVersionLast="47" xr6:coauthVersionMax="47" xr10:uidLastSave="{1E4A0B4F-A4FB-4925-9813-7ECA8A941F8D}"/>
  <bookViews>
    <workbookView xWindow="-108" yWindow="-108" windowWidth="23256" windowHeight="12456" activeTab="1" xr2:uid="{D124A0E7-F699-4039-B1CE-F666AEF1D719}"/>
  </bookViews>
  <sheets>
    <sheet name="Sheet2" sheetId="3" r:id="rId1"/>
    <sheet name="Sheet1" sheetId="1" r:id="rId2"/>
    <sheet name="DASHBOARD" sheetId="2" r:id="rId3"/>
  </sheets>
  <definedNames>
    <definedName name="_xlnm._FilterDatabase" localSheetId="1" hidden="1">Sheet1!$A$1:$F$9</definedName>
  </definedNames>
  <calcPr calcId="191029"/>
  <pivotCaches>
    <pivotCache cacheId="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2" l="1"/>
  <c r="A13" i="2"/>
  <c r="A10" i="2"/>
  <c r="A7" i="2"/>
  <c r="A4" i="2"/>
  <c r="I4" i="1"/>
  <c r="I3" i="1"/>
  <c r="I6" i="1"/>
  <c r="I5" i="1"/>
  <c r="L2" i="1"/>
  <c r="L3" i="1"/>
  <c r="L4" i="1"/>
  <c r="F5" i="1"/>
  <c r="F3" i="1"/>
  <c r="F4" i="1"/>
  <c r="F2" i="1"/>
  <c r="F6" i="1"/>
  <c r="L5" i="1"/>
  <c r="L6" i="1"/>
</calcChain>
</file>

<file path=xl/sharedStrings.xml><?xml version="1.0" encoding="utf-8"?>
<sst xmlns="http://schemas.openxmlformats.org/spreadsheetml/2006/main" count="40" uniqueCount="31">
  <si>
    <t>S.NO</t>
  </si>
  <si>
    <t>DATE</t>
  </si>
  <si>
    <t>NAME</t>
  </si>
  <si>
    <t>DEPARTMENT</t>
  </si>
  <si>
    <t>SALARY</t>
  </si>
  <si>
    <t>Saras</t>
  </si>
  <si>
    <t>Mani</t>
  </si>
  <si>
    <t>Raja</t>
  </si>
  <si>
    <t>Sasi</t>
  </si>
  <si>
    <t>Priya</t>
  </si>
  <si>
    <t>IT</t>
  </si>
  <si>
    <t>HR</t>
  </si>
  <si>
    <t>FINANCE</t>
  </si>
  <si>
    <t>TOTAL SALARY</t>
  </si>
  <si>
    <t>AVERAGE SALARY</t>
  </si>
  <si>
    <t>NUMBER OF EMPLOYEES</t>
  </si>
  <si>
    <t>HIGHEST SALARY</t>
  </si>
  <si>
    <t>LOWEST SALARY</t>
  </si>
  <si>
    <t>CATEGORY</t>
  </si>
  <si>
    <t>ANALYSIS</t>
  </si>
  <si>
    <t>HIGH SALARY EMPLOYEES</t>
  </si>
  <si>
    <t>IT TOTAL SALARY</t>
  </si>
  <si>
    <t>IT EMPLOYEES&gt;=30000</t>
  </si>
  <si>
    <t>IT SALARY&gt;=30000 TOTAL</t>
  </si>
  <si>
    <t>RESULT</t>
  </si>
  <si>
    <t>EMPLOYEE SALARY DASHBOARD</t>
  </si>
  <si>
    <t>TOTAL EMPLOYEES</t>
  </si>
  <si>
    <t>Row Labels</t>
  </si>
  <si>
    <t>Grand Total</t>
  </si>
  <si>
    <t>Count of NAME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</si>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</sst>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[EMPLOYEE_SALARY_ANALYSIS.xlsx]Sheet2!PivotTable4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</a:t>
            </a:r>
            <a:r>
              <a:rPr lang="en-US" baseline="0"/>
              <a:t>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65A-4705-AFE2-8378A2FE8FE9}"/>
              </c:ext>
            </c:extLst>
          </c:dPt>
          <c:dPt>
            <c:idx val="1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65A-4705-AFE2-8378A2FE8FE9}"/>
              </c:ext>
            </c:extLst>
          </c:dPt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65A-4705-AFE2-8378A2FE8FE9}"/>
              </c:ext>
            </c:extLst>
          </c:dPt>
          <c:dLbls>
            <c:dLbl>
              <c:idx val="0"/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65A-4705-AFE2-8378A2FE8FE9}"/>
                </c:ext>
              </c:extLst>
            </c:dLbl>
            <c:dLbl>
              <c:idx val="1"/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5A-4705-AFE2-8378A2FE8FE9}"/>
                </c:ext>
              </c:extLst>
            </c:dLbl>
            <c:dLbl>
              <c:idx val="2"/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65A-4705-AFE2-8378A2FE8F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Sheet2!$A$4:$A$7</c:f>
              <c:strCache>
                <c:ptCount val="3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5A-4705-AFE2-8378A2FE8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alpha val="97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02537182852142"/>
          <c:y val="0.10226851851851854"/>
          <c:w val="0.86497462817147852"/>
          <c:h val="0.7212580198308544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SALARY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Sheet1!$C$2:$C$6</c:f>
              <c:strCache>
                <c:ptCount val="5"/>
                <c:pt idx="0">
                  <c:v>Priya</c:v>
                </c:pt>
                <c:pt idx="1">
                  <c:v>Raja</c:v>
                </c:pt>
                <c:pt idx="2">
                  <c:v>Sasi</c:v>
                </c:pt>
                <c:pt idx="3">
                  <c:v>Mani</c:v>
                </c:pt>
                <c:pt idx="4">
                  <c:v>Saras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35000</c:v>
                </c:pt>
                <c:pt idx="1">
                  <c:v>32000</c:v>
                </c:pt>
                <c:pt idx="2">
                  <c:v>30000</c:v>
                </c:pt>
                <c:pt idx="3">
                  <c:v>28000</c:v>
                </c:pt>
                <c:pt idx="4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33-470F-A4C7-3A61D60E8EA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14418464"/>
        <c:axId val="1277780464"/>
      </c:barChart>
      <c:catAx>
        <c:axId val="171441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780464"/>
        <c:crosses val="autoZero"/>
        <c:auto val="1"/>
        <c:lblAlgn val="ctr"/>
        <c:lblOffset val="100"/>
        <c:noMultiLvlLbl val="0"/>
      </c:catAx>
      <c:valAx>
        <c:axId val="127778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41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571500</xdr:colOff>
      <xdr:row>3</xdr:row>
      <xdr:rowOff>144780</xdr:rowOff>
    </xdr:from>
    <xdr:to>
      <xdr:col>9</xdr:col>
      <xdr:colOff>266700</xdr:colOff>
      <xdr:row>15</xdr:row>
      <xdr:rowOff>236220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F31094-DB5C-4B97-BA71-97EE573DD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22860</xdr:colOff>
      <xdr:row>3</xdr:row>
      <xdr:rowOff>152400</xdr:rowOff>
    </xdr:from>
    <xdr:to>
      <xdr:col>17</xdr:col>
      <xdr:colOff>327660</xdr:colOff>
      <xdr:row>15</xdr:row>
      <xdr:rowOff>243840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D6D03F-4783-4C70-A31A-6E18FEBCF7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ASWATHI S" refreshedDate="46269.924184722222" createdVersion="8" refreshedVersion="8" minRefreshableVersion="3" recordCount="5" xr:uid="{AEDF05A9-47DE-4A83-91C9-2FE8E56531AD}">
  <cacheSource type="worksheet">
    <worksheetSource ref="A1:F6" sheet="Sheet1"/>
  </cacheSource>
  <cacheFields count="6">
    <cacheField name="S.NO" numFmtId="0">
      <sharedItems containsSemiMixedTypes="0" containsString="0" containsNumber="1" containsInteger="1" minValue="1" maxValue="5"/>
    </cacheField>
    <cacheField name="DATE" numFmtId="14">
      <sharedItems containsSemiMixedTypes="0" containsNonDate="0" containsDate="1" containsString="0" minDate="2026-09-04T00:00:00" maxDate="2026-09-09T00:00:00"/>
    </cacheField>
    <cacheField name="NAME" numFmtId="0">
      <sharedItems count="5">
        <s v="Priya"/>
        <s v="Raja"/>
        <s v="Sasi"/>
        <s v="Mani"/>
        <s v="Saras"/>
      </sharedItems>
    </cacheField>
    <cacheField name="DEPARTMENT" numFmtId="0">
      <sharedItems count="3">
        <s v="IT"/>
        <s v="FINANCE"/>
        <s v="HR"/>
      </sharedItems>
    </cacheField>
    <cacheField name="SALARY" numFmtId="0">
      <sharedItems containsSemiMixedTypes="0" containsString="0" containsNumber="1" containsInteger="1" minValue="25000" maxValue="35000"/>
    </cacheField>
    <cacheField name="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5"/>
    <d v="2026-09-08T00:00:00"/>
    <x v="0"/>
    <x v="0"/>
    <n v="35000"/>
    <s v="High"/>
  </r>
  <r>
    <n v="3"/>
    <d v="2026-09-06T00:00:00"/>
    <x v="1"/>
    <x v="0"/>
    <n v="32000"/>
    <s v="High"/>
  </r>
  <r>
    <n v="4"/>
    <d v="2026-09-07T00:00:00"/>
    <x v="2"/>
    <x v="1"/>
    <n v="30000"/>
    <s v="High"/>
  </r>
  <r>
    <n v="2"/>
    <d v="2026-09-05T00:00:00"/>
    <x v="3"/>
    <x v="2"/>
    <n v="28000"/>
    <s v="Low"/>
  </r>
  <r>
    <n v="1"/>
    <d v="2026-09-04T00:00:00"/>
    <x v="4"/>
    <x v="0"/>
    <n v="25000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F9CC2-D9D6-444F-BA09-F8CF7905756C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6">
    <pivotField showAll="0"/>
    <pivotField numFmtId="14" showAll="0"/>
    <pivotField dataField="1" showAll="0">
      <items count="6">
        <item x="3"/>
        <item x="0"/>
        <item x="1"/>
        <item x="4"/>
        <item x="2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NAME" fld="2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B242A-726F-486D-9C8E-C6FBAF899A46}">
  <dimension ref="A3:B7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3.109375" bestFit="1" customWidth="1"/>
  </cols>
  <sheetData>
    <row r="3" spans="1:2" x14ac:dyDescent="0.3">
      <c r="A3" s="6" t="s">
        <v>27</v>
      </c>
      <c r="B3" t="s">
        <v>29</v>
      </c>
    </row>
    <row r="4" spans="1:2" x14ac:dyDescent="0.3">
      <c r="A4" s="7" t="s">
        <v>12</v>
      </c>
      <c r="B4" s="8">
        <v>1</v>
      </c>
    </row>
    <row r="5" spans="1:2" x14ac:dyDescent="0.3">
      <c r="A5" s="7" t="s">
        <v>11</v>
      </c>
      <c r="B5" s="8">
        <v>1</v>
      </c>
    </row>
    <row r="6" spans="1:2" x14ac:dyDescent="0.3">
      <c r="A6" s="7" t="s">
        <v>10</v>
      </c>
      <c r="B6" s="8">
        <v>3</v>
      </c>
    </row>
    <row r="7" spans="1:2" x14ac:dyDescent="0.3">
      <c r="A7" s="7" t="s">
        <v>28</v>
      </c>
      <c r="B7" s="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218D-7164-4BB7-AF76-327B0BB54A14}">
  <dimension ref="A1:L6"/>
  <sheetViews>
    <sheetView tabSelected="1" workbookViewId="0">
      <selection activeCell="K10" sqref="K10"/>
    </sheetView>
  </sheetViews>
  <sheetFormatPr defaultRowHeight="14.4" x14ac:dyDescent="0.3"/>
  <cols>
    <col min="1" max="1" width="6.44140625" customWidth="1"/>
    <col min="2" max="2" width="12.6640625" customWidth="1"/>
    <col min="3" max="3" width="16.109375" customWidth="1"/>
    <col min="4" max="4" width="22.77734375" customWidth="1"/>
    <col min="6" max="6" width="9.88671875" customWidth="1"/>
    <col min="7" max="7" width="10.21875" customWidth="1"/>
    <col min="8" max="8" width="22" customWidth="1"/>
    <col min="11" max="11" width="21.5546875" customWidth="1"/>
  </cols>
  <sheetData>
    <row r="1" spans="1:12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18</v>
      </c>
      <c r="H1" s="2" t="s">
        <v>19</v>
      </c>
      <c r="I1" s="2" t="s">
        <v>24</v>
      </c>
      <c r="K1" s="2" t="s">
        <v>30</v>
      </c>
    </row>
    <row r="2" spans="1:12" x14ac:dyDescent="0.3">
      <c r="A2">
        <v>5</v>
      </c>
      <c r="B2" s="1">
        <v>46273</v>
      </c>
      <c r="C2" t="s">
        <v>9</v>
      </c>
      <c r="D2" t="s">
        <v>10</v>
      </c>
      <c r="E2">
        <v>35000</v>
      </c>
      <c r="F2" t="str">
        <f>IF(E2&gt;=30000,"High","Low")</f>
        <v>High</v>
      </c>
      <c r="K2" s="2" t="s">
        <v>14</v>
      </c>
      <c r="L2" s="2">
        <f>AVERAGE(E2:E6)</f>
        <v>30000</v>
      </c>
    </row>
    <row r="3" spans="1:12" x14ac:dyDescent="0.3">
      <c r="A3">
        <v>3</v>
      </c>
      <c r="B3" s="1">
        <v>46271</v>
      </c>
      <c r="C3" t="s">
        <v>7</v>
      </c>
      <c r="D3" t="s">
        <v>10</v>
      </c>
      <c r="E3">
        <v>32000</v>
      </c>
      <c r="F3" t="str">
        <f>IF(E3&gt;=30000,"High","Low")</f>
        <v>High</v>
      </c>
      <c r="H3" s="2" t="s">
        <v>22</v>
      </c>
      <c r="I3" s="2">
        <f>COUNTIFS(D1:D6,"IT",E1:E6,"&gt;=30000")</f>
        <v>2</v>
      </c>
      <c r="K3" s="2" t="s">
        <v>15</v>
      </c>
      <c r="L3" s="2">
        <f>COUNT(E2:E6)</f>
        <v>5</v>
      </c>
    </row>
    <row r="4" spans="1:12" x14ac:dyDescent="0.3">
      <c r="A4">
        <v>4</v>
      </c>
      <c r="B4" s="1">
        <v>46272</v>
      </c>
      <c r="C4" t="s">
        <v>8</v>
      </c>
      <c r="D4" t="s">
        <v>12</v>
      </c>
      <c r="E4">
        <v>30000</v>
      </c>
      <c r="F4" t="str">
        <f>IF(E4&gt;=30000,"High","Low")</f>
        <v>High</v>
      </c>
      <c r="H4" s="2" t="s">
        <v>23</v>
      </c>
      <c r="I4" s="2">
        <f>SUMIFS(E1:E6,D1:D6,"IT",E1:E6,"&gt;=30000")</f>
        <v>67000</v>
      </c>
      <c r="K4" s="2" t="s">
        <v>13</v>
      </c>
      <c r="L4" s="2">
        <f>SUM(E2:E6)</f>
        <v>150000</v>
      </c>
    </row>
    <row r="5" spans="1:12" x14ac:dyDescent="0.3">
      <c r="A5">
        <v>2</v>
      </c>
      <c r="B5" s="1">
        <v>46270</v>
      </c>
      <c r="C5" t="s">
        <v>6</v>
      </c>
      <c r="D5" t="s">
        <v>11</v>
      </c>
      <c r="E5">
        <v>28000</v>
      </c>
      <c r="F5" t="str">
        <f>IF(E5&gt;=30000,"High","Low")</f>
        <v>Low</v>
      </c>
      <c r="H5" s="2" t="s">
        <v>21</v>
      </c>
      <c r="I5" s="2">
        <f>SUMIF(D2:D6,"IT",E2:E6)</f>
        <v>92000</v>
      </c>
      <c r="K5" s="2" t="s">
        <v>16</v>
      </c>
      <c r="L5" s="2">
        <f>MAX(E2:E6)</f>
        <v>35000</v>
      </c>
    </row>
    <row r="6" spans="1:12" x14ac:dyDescent="0.3">
      <c r="A6">
        <v>1</v>
      </c>
      <c r="B6" s="1">
        <v>46269</v>
      </c>
      <c r="C6" t="s">
        <v>5</v>
      </c>
      <c r="D6" t="s">
        <v>10</v>
      </c>
      <c r="E6">
        <v>25000</v>
      </c>
      <c r="F6" t="str">
        <f>IF(E6&gt;=30000,"High","Low")</f>
        <v>Low</v>
      </c>
      <c r="H6" s="2" t="s">
        <v>20</v>
      </c>
      <c r="I6" s="2">
        <f>COUNTIF(F2:F6,"High")</f>
        <v>3</v>
      </c>
      <c r="K6" s="2" t="s">
        <v>17</v>
      </c>
      <c r="L6" s="2">
        <f>MIN(E2:E6)</f>
        <v>25000</v>
      </c>
    </row>
  </sheetData>
  <sortState xmlns:xlrd2="http://schemas.microsoft.com/office/spreadsheetml/2017/richdata2" ref="A2:H9">
    <sortCondition descending="1" ref="E2:E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3BE6-9EBD-45ED-881F-F2E70BB7CADC}">
  <dimension ref="A1:C16"/>
  <sheetViews>
    <sheetView workbookViewId="0"/>
  </sheetViews>
  <sheetFormatPr defaultRowHeight="14.4" x14ac:dyDescent="0.3"/>
  <cols>
    <col min="1" max="1" width="62.5546875" customWidth="1"/>
  </cols>
  <sheetData>
    <row r="1" spans="1:3" ht="31.2" x14ac:dyDescent="0.6">
      <c r="A1" s="9" t="s">
        <v>25</v>
      </c>
      <c r="C1" s="3"/>
    </row>
    <row r="3" spans="1:3" x14ac:dyDescent="0.3">
      <c r="A3" s="4" t="s">
        <v>26</v>
      </c>
    </row>
    <row r="4" spans="1:3" ht="23.4" x14ac:dyDescent="0.45">
      <c r="A4" s="5">
        <f>COUNTA(Sheet1!C2:C6)</f>
        <v>5</v>
      </c>
    </row>
    <row r="6" spans="1:3" x14ac:dyDescent="0.3">
      <c r="A6" s="4" t="s">
        <v>13</v>
      </c>
    </row>
    <row r="7" spans="1:3" ht="23.4" x14ac:dyDescent="0.45">
      <c r="A7" s="5">
        <f>SUM(Sheet1!E2:E6)</f>
        <v>150000</v>
      </c>
    </row>
    <row r="9" spans="1:3" x14ac:dyDescent="0.3">
      <c r="A9" s="4" t="s">
        <v>14</v>
      </c>
    </row>
    <row r="10" spans="1:3" ht="23.4" x14ac:dyDescent="0.45">
      <c r="A10" s="5">
        <f>AVERAGE(Sheet1!E2:E6)</f>
        <v>30000</v>
      </c>
    </row>
    <row r="12" spans="1:3" x14ac:dyDescent="0.3">
      <c r="A12" s="4" t="s">
        <v>16</v>
      </c>
    </row>
    <row r="13" spans="1:3" ht="23.4" x14ac:dyDescent="0.45">
      <c r="A13" s="5">
        <f>MAX(Sheet1!E2:E6)</f>
        <v>35000</v>
      </c>
    </row>
    <row r="15" spans="1:3" x14ac:dyDescent="0.3">
      <c r="A15" s="4" t="s">
        <v>17</v>
      </c>
    </row>
    <row r="16" spans="1:3" ht="23.4" x14ac:dyDescent="0.45">
      <c r="A16" s="5">
        <f>MIN(Sheet1!E2:E6)</f>
        <v>25000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SARASWATHI S</dc:creator>
  <cp:lastModifiedBy>SARASWATHI S</cp:lastModifiedBy>
  <dcterms:created xsi:type="dcterms:W3CDTF">2026-09-04T15:09:03Z</dcterms:created>
  <dcterms:modified xsi:type="dcterms:W3CDTF">2026-09-04T16:58:36Z</dcterms:modified>
</cp:coreProperties>
</file>